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style2.xml" ContentType="application/vnd.ms-office.chartstyle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/colors2.xml" ContentType="application/vnd.ms-office.chartcolorstyle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05" yWindow="-105" windowWidth="19425" windowHeight="10425"/>
  </bookViews>
  <sheets>
    <sheet name="Exhibit 1 - Summary" sheetId="4" r:id="rId1"/>
    <sheet name="Exhibit 2 - Detail" sheetId="2" r:id="rId2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U21" i="2"/>
  <c r="T21"/>
  <c r="S21"/>
  <c r="P21"/>
  <c r="O21"/>
  <c r="N21"/>
  <c r="K21"/>
  <c r="J21"/>
  <c r="I21"/>
  <c r="R21"/>
  <c r="M21"/>
  <c r="H21"/>
  <c r="C21"/>
  <c r="F56" i="4"/>
  <c r="F55"/>
  <c r="F54"/>
  <c r="F53"/>
  <c r="F52"/>
  <c r="F51"/>
  <c r="F50"/>
  <c r="F49"/>
  <c r="F48"/>
  <c r="F47"/>
  <c r="F46"/>
  <c r="F45"/>
  <c r="E56"/>
  <c r="E55"/>
  <c r="E54"/>
  <c r="E53"/>
  <c r="E52"/>
  <c r="E51"/>
  <c r="E50"/>
  <c r="E49"/>
  <c r="E48"/>
  <c r="E47"/>
  <c r="E46"/>
  <c r="E45"/>
  <c r="D56"/>
  <c r="D55"/>
  <c r="D54"/>
  <c r="D53"/>
  <c r="D52"/>
  <c r="D51"/>
  <c r="D50"/>
  <c r="D49"/>
  <c r="D48"/>
  <c r="D47"/>
  <c r="D46"/>
  <c r="D45"/>
  <c r="C56"/>
  <c r="C55"/>
  <c r="C54"/>
  <c r="C53"/>
  <c r="C52"/>
  <c r="C51"/>
  <c r="C50"/>
  <c r="C49"/>
  <c r="C48"/>
  <c r="C47"/>
  <c r="C46"/>
  <c r="C45"/>
  <c r="E57" l="1"/>
  <c r="C57"/>
  <c r="D57"/>
  <c r="F57"/>
  <c r="F21" i="2"/>
  <c r="E21"/>
  <c r="D21"/>
</calcChain>
</file>

<file path=xl/sharedStrings.xml><?xml version="1.0" encoding="utf-8"?>
<sst xmlns="http://schemas.openxmlformats.org/spreadsheetml/2006/main" count="42" uniqueCount="17">
  <si>
    <t>HMO/POS</t>
  </si>
  <si>
    <t>Medicaid</t>
  </si>
  <si>
    <t>Medicare</t>
  </si>
  <si>
    <t>FOR DATA VALIDATION PURPOSES</t>
  </si>
  <si>
    <t>Company ABC</t>
  </si>
  <si>
    <t>All Lines of Business</t>
  </si>
  <si>
    <t>Provider A</t>
  </si>
  <si>
    <t>Provider B</t>
  </si>
  <si>
    <t>Provider C</t>
  </si>
  <si>
    <t>Month</t>
  </si>
  <si>
    <t>Members</t>
  </si>
  <si>
    <t>PPO</t>
  </si>
  <si>
    <t>Claims Incurred between 1/1/2018 and 12/31/2018, Paid through 12/31/2018</t>
  </si>
  <si>
    <t>Historical Monthly Claims Trend Summary</t>
  </si>
  <si>
    <t>Spending Per-Member Per-Month</t>
  </si>
  <si>
    <t>2018 Average</t>
  </si>
  <si>
    <t>Detailed Historical Experience Summary by Line of Business</t>
  </si>
</sst>
</file>

<file path=xl/styles.xml><?xml version="1.0" encoding="utf-8"?>
<styleSheet xmlns="http://schemas.openxmlformats.org/spreadsheetml/2006/main">
  <numFmts count="1">
    <numFmt numFmtId="164" formatCode="m/yyyy"/>
  </numFmts>
  <fonts count="7">
    <font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theme="1"/>
      <name val="Calibri"/>
      <family val="2"/>
    </font>
    <font>
      <b/>
      <sz val="12"/>
      <name val="Calibri"/>
      <family val="2"/>
    </font>
    <font>
      <b/>
      <sz val="14"/>
      <color theme="0"/>
      <name val="Calibri"/>
      <family val="2"/>
    </font>
    <font>
      <sz val="12"/>
      <color theme="1"/>
      <name val="Arial"/>
      <family val="2"/>
    </font>
    <font>
      <i/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Continuous"/>
    </xf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Continuous"/>
    </xf>
    <xf numFmtId="164" fontId="0" fillId="0" borderId="3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4" fontId="0" fillId="0" borderId="7" xfId="0" applyNumberFormat="1" applyBorder="1"/>
    <xf numFmtId="4" fontId="0" fillId="0" borderId="8" xfId="0" applyNumberFormat="1" applyBorder="1"/>
    <xf numFmtId="3" fontId="0" fillId="0" borderId="9" xfId="0" applyNumberFormat="1" applyBorder="1"/>
    <xf numFmtId="4" fontId="0" fillId="0" borderId="0" xfId="0" applyNumberFormat="1" applyBorder="1"/>
    <xf numFmtId="4" fontId="0" fillId="0" borderId="10" xfId="0" applyNumberFormat="1" applyBorder="1"/>
    <xf numFmtId="3" fontId="0" fillId="0" borderId="12" xfId="0" applyNumberFormat="1" applyBorder="1"/>
    <xf numFmtId="0" fontId="0" fillId="2" borderId="5" xfId="0" applyFill="1" applyBorder="1" applyAlignment="1">
      <alignment horizontal="centerContinuous"/>
    </xf>
    <xf numFmtId="0" fontId="0" fillId="2" borderId="6" xfId="0" applyFill="1" applyBorder="1" applyAlignment="1">
      <alignment horizontal="centerContinuous"/>
    </xf>
    <xf numFmtId="0" fontId="0" fillId="2" borderId="0" xfId="0" applyFill="1" applyBorder="1" applyAlignment="1">
      <alignment horizontal="centerContinuous"/>
    </xf>
    <xf numFmtId="0" fontId="0" fillId="2" borderId="10" xfId="0" applyFill="1" applyBorder="1" applyAlignment="1">
      <alignment horizontal="centerContinuous"/>
    </xf>
    <xf numFmtId="0" fontId="0" fillId="2" borderId="7" xfId="0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1" fillId="2" borderId="11" xfId="0" applyFont="1" applyFill="1" applyBorder="1" applyAlignment="1">
      <alignment horizontal="centerContinuous"/>
    </xf>
    <xf numFmtId="0" fontId="1" fillId="2" borderId="9" xfId="0" applyFont="1" applyFill="1" applyBorder="1" applyAlignment="1">
      <alignment horizontal="centerContinuous"/>
    </xf>
    <xf numFmtId="0" fontId="1" fillId="2" borderId="12" xfId="0" applyFont="1" applyFill="1" applyBorder="1" applyAlignment="1">
      <alignment horizontal="centerContinuous"/>
    </xf>
    <xf numFmtId="164" fontId="0" fillId="0" borderId="13" xfId="0" applyNumberFormat="1" applyBorder="1" applyAlignment="1">
      <alignment horizontal="left"/>
    </xf>
    <xf numFmtId="3" fontId="0" fillId="0" borderId="14" xfId="0" applyNumberFormat="1" applyBorder="1"/>
    <xf numFmtId="4" fontId="0" fillId="0" borderId="15" xfId="0" applyNumberFormat="1" applyBorder="1"/>
    <xf numFmtId="4" fontId="0" fillId="0" borderId="16" xfId="0" applyNumberFormat="1" applyBorder="1"/>
    <xf numFmtId="0" fontId="4" fillId="2" borderId="9" xfId="0" applyFont="1" applyFill="1" applyBorder="1" applyAlignment="1">
      <alignment horizontal="centerContinuous"/>
    </xf>
    <xf numFmtId="0" fontId="5" fillId="0" borderId="0" xfId="0" applyFont="1"/>
    <xf numFmtId="0" fontId="2" fillId="0" borderId="4" xfId="0" applyFont="1" applyBorder="1" applyAlignment="1">
      <alignment horizontal="left"/>
    </xf>
    <xf numFmtId="3" fontId="2" fillId="0" borderId="12" xfId="0" applyNumberFormat="1" applyFont="1" applyBorder="1"/>
    <xf numFmtId="4" fontId="2" fillId="0" borderId="7" xfId="0" applyNumberFormat="1" applyFont="1" applyBorder="1"/>
    <xf numFmtId="4" fontId="2" fillId="0" borderId="8" xfId="0" applyNumberFormat="1" applyFont="1" applyBorder="1"/>
    <xf numFmtId="4" fontId="3" fillId="0" borderId="7" xfId="0" applyNumberFormat="1" applyFont="1" applyBorder="1"/>
    <xf numFmtId="0" fontId="6" fillId="0" borderId="0" xfId="0" applyFont="1"/>
    <xf numFmtId="0" fontId="3" fillId="4" borderId="1" xfId="0" applyFont="1" applyFill="1" applyBorder="1" applyAlignment="1">
      <alignment horizontal="centerContinuous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33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Membership Trends - 2018</a:t>
            </a:r>
            <a:endParaRPr lang="en-US" b="1"/>
          </a:p>
        </c:rich>
      </c:tx>
      <c:layout/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'Exhibit 1 - Summary'!$C$44</c:f>
              <c:strCache>
                <c:ptCount val="1"/>
                <c:pt idx="0">
                  <c:v>Members</c:v>
                </c:pt>
              </c:strCache>
            </c:strRef>
          </c:tx>
          <c:spPr>
            <a:ln w="19050" cap="rnd">
              <a:solidFill>
                <a:srgbClr val="003366">
                  <a:alpha val="89000"/>
                </a:srgbClr>
              </a:solidFill>
              <a:round/>
            </a:ln>
            <a:effectLst>
              <a:innerShdw blurRad="12700" dist="50800" dir="16200000">
                <a:srgbClr val="003366">
                  <a:alpha val="56000"/>
                </a:srgbClr>
              </a:inn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3366"/>
                </a:solidFill>
              </a:ln>
              <a:effectLst>
                <a:innerShdw blurRad="12700" dist="50800" dir="16200000">
                  <a:srgbClr val="003366">
                    <a:alpha val="56000"/>
                  </a:srgbClr>
                </a:innerShdw>
              </a:effectLst>
            </c:spPr>
          </c:marker>
          <c:dPt>
            <c:idx val="0"/>
            <c:spPr>
              <a:ln w="19050" cap="rnd">
                <a:solidFill>
                  <a:srgbClr val="003366">
                    <a:alpha val="89000"/>
                  </a:srgbClr>
                </a:solidFill>
                <a:round/>
              </a:ln>
              <a:effectLst>
                <a:innerShdw blurRad="12700" dist="50800" dir="16200000">
                  <a:srgbClr val="003366">
                    <a:alpha val="56000"/>
                  </a:srgb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8B4D-45A4-9DD0-1AC7651B2A43}"/>
              </c:ext>
            </c:extLst>
          </c:dPt>
          <c:dPt>
            <c:idx val="1"/>
            <c:spPr>
              <a:ln w="19050" cap="rnd">
                <a:solidFill>
                  <a:srgbClr val="003366">
                    <a:alpha val="89000"/>
                  </a:srgbClr>
                </a:solidFill>
                <a:round/>
              </a:ln>
              <a:effectLst>
                <a:innerShdw blurRad="12700" dist="50800" dir="16200000">
                  <a:srgbClr val="003366">
                    <a:alpha val="56000"/>
                  </a:srgb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8B4D-45A4-9DD0-1AC7651B2A43}"/>
              </c:ext>
            </c:extLst>
          </c:dPt>
          <c:dPt>
            <c:idx val="2"/>
            <c:spPr>
              <a:ln w="19050" cap="rnd">
                <a:solidFill>
                  <a:srgbClr val="003366">
                    <a:alpha val="89000"/>
                  </a:srgbClr>
                </a:solidFill>
                <a:round/>
              </a:ln>
              <a:effectLst>
                <a:innerShdw blurRad="12700" dist="50800" dir="16200000">
                  <a:srgbClr val="003366">
                    <a:alpha val="56000"/>
                  </a:srgb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8B4D-45A4-9DD0-1AC7651B2A43}"/>
              </c:ext>
            </c:extLst>
          </c:dPt>
          <c:dPt>
            <c:idx val="3"/>
            <c:spPr>
              <a:ln w="19050" cap="rnd">
                <a:solidFill>
                  <a:srgbClr val="003366">
                    <a:alpha val="89000"/>
                  </a:srgbClr>
                </a:solidFill>
                <a:round/>
              </a:ln>
              <a:effectLst>
                <a:innerShdw blurRad="12700" dist="50800" dir="16200000">
                  <a:srgbClr val="003366">
                    <a:alpha val="56000"/>
                  </a:srgb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8B4D-45A4-9DD0-1AC7651B2A43}"/>
              </c:ext>
            </c:extLst>
          </c:dPt>
          <c:dPt>
            <c:idx val="4"/>
            <c:spPr>
              <a:ln w="19050" cap="rnd">
                <a:solidFill>
                  <a:srgbClr val="003366">
                    <a:alpha val="89000"/>
                  </a:srgbClr>
                </a:solidFill>
                <a:round/>
              </a:ln>
              <a:effectLst>
                <a:innerShdw blurRad="12700" dist="50800" dir="16200000">
                  <a:srgbClr val="003366">
                    <a:alpha val="56000"/>
                  </a:srgb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8B4D-45A4-9DD0-1AC7651B2A43}"/>
              </c:ext>
            </c:extLst>
          </c:dPt>
          <c:dPt>
            <c:idx val="5"/>
            <c:spPr>
              <a:ln w="19050" cap="rnd">
                <a:solidFill>
                  <a:srgbClr val="003366">
                    <a:alpha val="89000"/>
                  </a:srgbClr>
                </a:solidFill>
                <a:round/>
              </a:ln>
              <a:effectLst>
                <a:innerShdw blurRad="12700" dist="50800" dir="16200000">
                  <a:srgbClr val="003366">
                    <a:alpha val="56000"/>
                  </a:srgb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8B4D-45A4-9DD0-1AC7651B2A43}"/>
              </c:ext>
            </c:extLst>
          </c:dPt>
          <c:dPt>
            <c:idx val="6"/>
            <c:spPr>
              <a:ln w="19050" cap="rnd">
                <a:solidFill>
                  <a:srgbClr val="003366">
                    <a:alpha val="89000"/>
                  </a:srgbClr>
                </a:solidFill>
                <a:round/>
              </a:ln>
              <a:effectLst>
                <a:innerShdw blurRad="12700" dist="50800" dir="16200000">
                  <a:srgbClr val="003366">
                    <a:alpha val="56000"/>
                  </a:srgb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8B4D-45A4-9DD0-1AC7651B2A43}"/>
              </c:ext>
            </c:extLst>
          </c:dPt>
          <c:dPt>
            <c:idx val="7"/>
            <c:spPr>
              <a:ln w="19050" cap="rnd">
                <a:solidFill>
                  <a:srgbClr val="003366">
                    <a:alpha val="89000"/>
                  </a:srgbClr>
                </a:solidFill>
                <a:round/>
              </a:ln>
              <a:effectLst>
                <a:innerShdw blurRad="12700" dist="50800" dir="16200000">
                  <a:srgbClr val="003366">
                    <a:alpha val="56000"/>
                  </a:srgb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8B4D-45A4-9DD0-1AC7651B2A43}"/>
              </c:ext>
            </c:extLst>
          </c:dPt>
          <c:dPt>
            <c:idx val="8"/>
            <c:marker>
              <c:spPr>
                <a:solidFill>
                  <a:schemeClr val="accent1"/>
                </a:solidFill>
                <a:ln w="22225" cap="rnd">
                  <a:solidFill>
                    <a:srgbClr val="003366"/>
                  </a:solidFill>
                </a:ln>
                <a:effectLst>
                  <a:innerShdw blurRad="12700" dist="50800" dir="16200000">
                    <a:srgbClr val="003366">
                      <a:alpha val="56000"/>
                    </a:srgbClr>
                  </a:innerShdw>
                </a:effectLst>
              </c:spPr>
            </c:marker>
            <c:spPr>
              <a:ln w="19050" cap="rnd">
                <a:solidFill>
                  <a:srgbClr val="003366">
                    <a:alpha val="89000"/>
                  </a:srgbClr>
                </a:solidFill>
                <a:round/>
              </a:ln>
              <a:effectLst>
                <a:innerShdw blurRad="12700" dist="50800" dir="16200000">
                  <a:srgbClr val="003366">
                    <a:alpha val="56000"/>
                  </a:srgb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8B4D-45A4-9DD0-1AC7651B2A43}"/>
              </c:ext>
            </c:extLst>
          </c:dPt>
          <c:dPt>
            <c:idx val="9"/>
            <c:spPr>
              <a:ln w="19050" cap="rnd">
                <a:solidFill>
                  <a:srgbClr val="003366">
                    <a:alpha val="89000"/>
                  </a:srgbClr>
                </a:solidFill>
                <a:round/>
              </a:ln>
              <a:effectLst>
                <a:innerShdw blurRad="12700" dist="50800" dir="16200000">
                  <a:srgbClr val="003366">
                    <a:alpha val="56000"/>
                  </a:srgb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8B4D-45A4-9DD0-1AC7651B2A43}"/>
              </c:ext>
            </c:extLst>
          </c:dPt>
          <c:dPt>
            <c:idx val="10"/>
            <c:spPr>
              <a:ln w="19050" cap="rnd">
                <a:solidFill>
                  <a:srgbClr val="003366">
                    <a:alpha val="89000"/>
                  </a:srgbClr>
                </a:solidFill>
                <a:round/>
              </a:ln>
              <a:effectLst>
                <a:innerShdw blurRad="12700" dist="50800" dir="16200000">
                  <a:srgbClr val="003366">
                    <a:alpha val="56000"/>
                  </a:srgb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8B4D-45A4-9DD0-1AC7651B2A43}"/>
              </c:ext>
            </c:extLst>
          </c:dPt>
          <c:dPt>
            <c:idx val="11"/>
            <c:spPr>
              <a:ln w="19050" cap="rnd">
                <a:solidFill>
                  <a:srgbClr val="003366">
                    <a:alpha val="89000"/>
                  </a:srgbClr>
                </a:solidFill>
                <a:round/>
              </a:ln>
              <a:effectLst>
                <a:innerShdw blurRad="12700" dist="50800" dir="16200000">
                  <a:srgbClr val="003366">
                    <a:alpha val="56000"/>
                  </a:srgbClr>
                </a:inn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8B4D-45A4-9DD0-1AC7651B2A4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'Exhibit 1 - Summary'!$A$45:$A$57</c:f>
              <c:strCache>
                <c:ptCount val="13"/>
                <c:pt idx="0">
                  <c:v>1/2018</c:v>
                </c:pt>
                <c:pt idx="1">
                  <c:v>2/2018</c:v>
                </c:pt>
                <c:pt idx="2">
                  <c:v>3/2018</c:v>
                </c:pt>
                <c:pt idx="3">
                  <c:v>4/2018</c:v>
                </c:pt>
                <c:pt idx="4">
                  <c:v>5/2018</c:v>
                </c:pt>
                <c:pt idx="5">
                  <c:v>6/2018</c:v>
                </c:pt>
                <c:pt idx="6">
                  <c:v>7/2018</c:v>
                </c:pt>
                <c:pt idx="7">
                  <c:v>8/2018</c:v>
                </c:pt>
                <c:pt idx="8">
                  <c:v>9/2018</c:v>
                </c:pt>
                <c:pt idx="9">
                  <c:v>10/2018</c:v>
                </c:pt>
                <c:pt idx="10">
                  <c:v>11/2018</c:v>
                </c:pt>
                <c:pt idx="11">
                  <c:v>12/2018</c:v>
                </c:pt>
                <c:pt idx="12">
                  <c:v>2018 Average</c:v>
                </c:pt>
              </c:strCache>
            </c:strRef>
          </c:cat>
          <c:val>
            <c:numRef>
              <c:f>'Exhibit 1 - Summary'!$C$45:$C$56</c:f>
              <c:numCache>
                <c:formatCode>#,##0</c:formatCode>
                <c:ptCount val="12"/>
                <c:pt idx="0">
                  <c:v>99097</c:v>
                </c:pt>
                <c:pt idx="1">
                  <c:v>98109</c:v>
                </c:pt>
                <c:pt idx="2">
                  <c:v>97724</c:v>
                </c:pt>
                <c:pt idx="3">
                  <c:v>99265</c:v>
                </c:pt>
                <c:pt idx="4">
                  <c:v>100104</c:v>
                </c:pt>
                <c:pt idx="5">
                  <c:v>99865</c:v>
                </c:pt>
                <c:pt idx="6">
                  <c:v>97986</c:v>
                </c:pt>
                <c:pt idx="7">
                  <c:v>96232</c:v>
                </c:pt>
                <c:pt idx="8">
                  <c:v>96398</c:v>
                </c:pt>
                <c:pt idx="9">
                  <c:v>95933</c:v>
                </c:pt>
                <c:pt idx="10">
                  <c:v>95658</c:v>
                </c:pt>
                <c:pt idx="11">
                  <c:v>95077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14B-4C90-8404-8EFCF3219C2E}"/>
            </c:ext>
          </c:extLst>
        </c:ser>
        <c:dLbls>
          <c:showVal val="1"/>
        </c:dLbls>
        <c:marker val="1"/>
        <c:axId val="120702848"/>
        <c:axId val="120705024"/>
      </c:lineChart>
      <c:catAx>
        <c:axId val="120702848"/>
        <c:scaling>
          <c:orientation val="minMax"/>
        </c:scaling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General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05024"/>
        <c:crosses val="autoZero"/>
        <c:auto val="1"/>
        <c:lblAlgn val="ctr"/>
        <c:lblOffset val="100"/>
      </c:catAx>
      <c:valAx>
        <c:axId val="120705024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Members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tickLblPos val="nextTo"/>
        <c:spPr>
          <a:noFill/>
          <a:ln>
            <a:solidFill>
              <a:srgbClr val="00336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702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PMPM's Trends - 2018</a:t>
            </a:r>
            <a:endParaRPr lang="en-US" b="1"/>
          </a:p>
        </c:rich>
      </c:tx>
      <c:layout/>
      <c:spPr>
        <a:noFill/>
        <a:ln>
          <a:noFill/>
        </a:ln>
        <a:effectLst/>
      </c:spPr>
    </c:title>
    <c:plotArea>
      <c:layout/>
      <c:lineChart>
        <c:grouping val="standard"/>
        <c:ser>
          <c:idx val="0"/>
          <c:order val="0"/>
          <c:tx>
            <c:strRef>
              <c:f>'Exhibit 1 - Summary'!$D$44</c:f>
              <c:strCache>
                <c:ptCount val="1"/>
                <c:pt idx="0">
                  <c:v>Provider A</c:v>
                </c:pt>
              </c:strCache>
            </c:strRef>
          </c:tx>
          <c:spPr>
            <a:ln w="28575" cap="rnd">
              <a:solidFill>
                <a:srgbClr val="003366">
                  <a:alpha val="94000"/>
                </a:srgbClr>
              </a:solidFill>
              <a:round/>
            </a:ln>
            <a:effectLst>
              <a:outerShdw blurRad="50800" dist="88900" dir="5400000" algn="ctr" rotWithShape="0">
                <a:srgbClr val="000000">
                  <a:alpha val="43137"/>
                </a:srgbClr>
              </a:outerShdw>
            </a:effectLst>
          </c:spPr>
          <c:marker>
            <c:symbol val="circle"/>
            <c:size val="5"/>
            <c:spPr>
              <a:solidFill>
                <a:srgbClr val="003366"/>
              </a:solidFill>
              <a:ln w="9525">
                <a:solidFill>
                  <a:srgbClr val="003366">
                    <a:alpha val="94000"/>
                  </a:srgbClr>
                </a:solidFill>
              </a:ln>
              <a:effectLst>
                <a:outerShdw blurRad="50800" dist="88900" dir="5400000" algn="ctr" rotWithShape="0">
                  <a:srgbClr val="000000">
                    <a:alpha val="43137"/>
                  </a:srgbClr>
                </a:outerShdw>
              </a:effectLst>
            </c:spPr>
          </c:marker>
          <c:dLbls>
            <c:dLbl>
              <c:idx val="11"/>
              <c:layout>
                <c:manualLayout>
                  <c:x val="-3.1426042193414841E-2"/>
                  <c:y val="-6.8245981058057709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FDF2-4CD7-A58D-68E78D8357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'Exhibit 1 - Summary'!$A$45:$A$56</c:f>
              <c:numCache>
                <c:formatCode>m/yyyy</c:formatCode>
                <c:ptCount val="1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</c:numCache>
            </c:numRef>
          </c:cat>
          <c:val>
            <c:numRef>
              <c:f>'Exhibit 1 - Summary'!$D$45:$D$56</c:f>
              <c:numCache>
                <c:formatCode>#,##0.00</c:formatCode>
                <c:ptCount val="12"/>
                <c:pt idx="0">
                  <c:v>78.920954256201995</c:v>
                </c:pt>
                <c:pt idx="1">
                  <c:v>74.970877969740073</c:v>
                </c:pt>
                <c:pt idx="2">
                  <c:v>81.154598510147792</c:v>
                </c:pt>
                <c:pt idx="3">
                  <c:v>79.265838257880276</c:v>
                </c:pt>
                <c:pt idx="4">
                  <c:v>81.535390385188023</c:v>
                </c:pt>
                <c:pt idx="5">
                  <c:v>79.92541956886356</c:v>
                </c:pt>
                <c:pt idx="6">
                  <c:v>77.078388156097489</c:v>
                </c:pt>
                <c:pt idx="7">
                  <c:v>82.297984240842212</c:v>
                </c:pt>
                <c:pt idx="8">
                  <c:v>69.365906636101116</c:v>
                </c:pt>
                <c:pt idx="9">
                  <c:v>81.252410948035262</c:v>
                </c:pt>
                <c:pt idx="10">
                  <c:v>66.3276233542325</c:v>
                </c:pt>
                <c:pt idx="11">
                  <c:v>42.36299208842614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FDF2-4CD7-A58D-68E78D835731}"/>
            </c:ext>
          </c:extLst>
        </c:ser>
        <c:ser>
          <c:idx val="1"/>
          <c:order val="1"/>
          <c:tx>
            <c:strRef>
              <c:f>'Exhibit 1 - Summary'!$E$44</c:f>
              <c:strCache>
                <c:ptCount val="1"/>
                <c:pt idx="0">
                  <c:v>Provider 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'Exhibit 1 - Summary'!$A$45:$A$56</c:f>
              <c:numCache>
                <c:formatCode>m/yyyy</c:formatCode>
                <c:ptCount val="1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</c:numCache>
            </c:numRef>
          </c:cat>
          <c:val>
            <c:numRef>
              <c:f>'Exhibit 1 - Summary'!$E$45:$E$56</c:f>
              <c:numCache>
                <c:formatCode>#,##0.00</c:formatCode>
                <c:ptCount val="12"/>
                <c:pt idx="0">
                  <c:v>7.0594397185006406</c:v>
                </c:pt>
                <c:pt idx="1">
                  <c:v>6.4244372066013389</c:v>
                </c:pt>
                <c:pt idx="2">
                  <c:v>7.2791571182421606</c:v>
                </c:pt>
                <c:pt idx="3">
                  <c:v>9.1558916400616823</c:v>
                </c:pt>
                <c:pt idx="4">
                  <c:v>7.9899936395842097</c:v>
                </c:pt>
                <c:pt idx="5">
                  <c:v>8.3642579861387034</c:v>
                </c:pt>
                <c:pt idx="6">
                  <c:v>8.1886591355163159</c:v>
                </c:pt>
                <c:pt idx="7">
                  <c:v>9.270473081103475</c:v>
                </c:pt>
                <c:pt idx="8">
                  <c:v>7.7920895182997034</c:v>
                </c:pt>
                <c:pt idx="9">
                  <c:v>8.7535746901656051</c:v>
                </c:pt>
                <c:pt idx="10">
                  <c:v>7.6385523200004384</c:v>
                </c:pt>
                <c:pt idx="11">
                  <c:v>3.7321228937321638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FDF2-4CD7-A58D-68E78D835731}"/>
            </c:ext>
          </c:extLst>
        </c:ser>
        <c:ser>
          <c:idx val="2"/>
          <c:order val="2"/>
          <c:tx>
            <c:strRef>
              <c:f>'Exhibit 1 - Summary'!$F$44</c:f>
              <c:strCache>
                <c:ptCount val="1"/>
                <c:pt idx="0">
                  <c:v>Provider C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7030A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3.0900869341247746E-2"/>
                  <c:y val="-1.7527287026029185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FDF2-4CD7-A58D-68E78D835731}"/>
                </c:ext>
              </c:extLst>
            </c:dLbl>
            <c:dLbl>
              <c:idx val="1"/>
              <c:layout>
                <c:manualLayout>
                  <c:x val="-3.0900869341247781E-2"/>
                  <c:y val="-2.533016303095667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FDF2-4CD7-A58D-68E78D835731}"/>
                </c:ext>
              </c:extLst>
            </c:dLbl>
            <c:dLbl>
              <c:idx val="2"/>
              <c:layout>
                <c:manualLayout>
                  <c:x val="-2.9025252012079606E-2"/>
                  <c:y val="-2.5330163030956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FDF2-4CD7-A58D-68E78D835731}"/>
                </c:ext>
              </c:extLst>
            </c:dLbl>
            <c:dLbl>
              <c:idx val="3"/>
              <c:layout>
                <c:manualLayout>
                  <c:x val="-3.0900869341247746E-2"/>
                  <c:y val="-2.533016303095667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0-FDF2-4CD7-A58D-68E78D835731}"/>
                </c:ext>
              </c:extLst>
            </c:dLbl>
            <c:dLbl>
              <c:idx val="4"/>
              <c:layout>
                <c:manualLayout>
                  <c:x val="-3.0900869341247746E-2"/>
                  <c:y val="-3.313303903588401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FDF2-4CD7-A58D-68E78D835731}"/>
                </c:ext>
              </c:extLst>
            </c:dLbl>
            <c:dLbl>
              <c:idx val="5"/>
              <c:layout>
                <c:manualLayout>
                  <c:x val="-3.0900869341247746E-2"/>
                  <c:y val="-3.703447703834776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FDF2-4CD7-A58D-68E78D835731}"/>
                </c:ext>
              </c:extLst>
            </c:dLbl>
            <c:dLbl>
              <c:idx val="6"/>
              <c:layout>
                <c:manualLayout>
                  <c:x val="-3.0900869341247746E-2"/>
                  <c:y val="-3.3133039035884014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3-FDF2-4CD7-A58D-68E78D835731}"/>
                </c:ext>
              </c:extLst>
            </c:dLbl>
            <c:dLbl>
              <c:idx val="7"/>
              <c:layout>
                <c:manualLayout>
                  <c:x val="-2.9025252012079714E-2"/>
                  <c:y val="-2.5330163030956671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4-FDF2-4CD7-A58D-68E78D835731}"/>
                </c:ext>
              </c:extLst>
            </c:dLbl>
            <c:dLbl>
              <c:idx val="8"/>
              <c:layout>
                <c:manualLayout>
                  <c:x val="-3.0900869341247746E-2"/>
                  <c:y val="-2.142872502849278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5-FDF2-4CD7-A58D-68E78D835731}"/>
                </c:ext>
              </c:extLst>
            </c:dLbl>
            <c:dLbl>
              <c:idx val="9"/>
              <c:layout>
                <c:manualLayout>
                  <c:x val="-3.0900869341247746E-2"/>
                  <c:y val="-2.142872502849293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6-FDF2-4CD7-A58D-68E78D835731}"/>
                </c:ext>
              </c:extLst>
            </c:dLbl>
            <c:dLbl>
              <c:idx val="10"/>
              <c:layout>
                <c:manualLayout>
                  <c:x val="-3.0900869341247746E-2"/>
                  <c:y val="-2.5330163030956532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7-FDF2-4CD7-A58D-68E78D835731}"/>
                </c:ext>
              </c:extLst>
            </c:dLbl>
            <c:dLbl>
              <c:idx val="11"/>
              <c:layout>
                <c:manualLayout>
                  <c:x val="-1.9647165366238797E-2"/>
                  <c:y val="-2.1428725028492787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8-FDF2-4CD7-A58D-68E78D83573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'Exhibit 1 - Summary'!$A$45:$A$56</c:f>
              <c:numCache>
                <c:formatCode>m/yyyy</c:formatCode>
                <c:ptCount val="12"/>
                <c:pt idx="0">
                  <c:v>43101</c:v>
                </c:pt>
                <c:pt idx="1">
                  <c:v>43132</c:v>
                </c:pt>
                <c:pt idx="2">
                  <c:v>43160</c:v>
                </c:pt>
                <c:pt idx="3">
                  <c:v>43191</c:v>
                </c:pt>
                <c:pt idx="4">
                  <c:v>43221</c:v>
                </c:pt>
                <c:pt idx="5">
                  <c:v>43252</c:v>
                </c:pt>
                <c:pt idx="6">
                  <c:v>43282</c:v>
                </c:pt>
                <c:pt idx="7">
                  <c:v>43313</c:v>
                </c:pt>
                <c:pt idx="8">
                  <c:v>43344</c:v>
                </c:pt>
                <c:pt idx="9">
                  <c:v>43374</c:v>
                </c:pt>
                <c:pt idx="10">
                  <c:v>43405</c:v>
                </c:pt>
                <c:pt idx="11">
                  <c:v>43435</c:v>
                </c:pt>
              </c:numCache>
            </c:numRef>
          </c:cat>
          <c:val>
            <c:numRef>
              <c:f>'Exhibit 1 - Summary'!$F$45:$F$56</c:f>
              <c:numCache>
                <c:formatCode>#,##0.00</c:formatCode>
                <c:ptCount val="12"/>
                <c:pt idx="0">
                  <c:v>1.2848443060682069</c:v>
                </c:pt>
                <c:pt idx="1">
                  <c:v>1.2433935010077224</c:v>
                </c:pt>
                <c:pt idx="2">
                  <c:v>1.6647364653209986</c:v>
                </c:pt>
                <c:pt idx="3">
                  <c:v>1.6304672671184393</c:v>
                </c:pt>
                <c:pt idx="4">
                  <c:v>1.5385149440858279</c:v>
                </c:pt>
                <c:pt idx="5">
                  <c:v>1.5775418707094964</c:v>
                </c:pt>
                <c:pt idx="6">
                  <c:v>1.7955652898923105</c:v>
                </c:pt>
                <c:pt idx="7">
                  <c:v>1.5189658068773686</c:v>
                </c:pt>
                <c:pt idx="8">
                  <c:v>1.2209905385327924</c:v>
                </c:pt>
                <c:pt idx="9">
                  <c:v>1.8885901297499255</c:v>
                </c:pt>
                <c:pt idx="10">
                  <c:v>1.5379649269160169</c:v>
                </c:pt>
                <c:pt idx="11">
                  <c:v>0.67288598888145712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C-FDF2-4CD7-A58D-68E78D835731}"/>
            </c:ext>
          </c:extLst>
        </c:ser>
        <c:dLbls>
          <c:showVal val="1"/>
        </c:dLbls>
        <c:marker val="1"/>
        <c:axId val="121053952"/>
        <c:axId val="121055872"/>
      </c:lineChart>
      <c:dateAx>
        <c:axId val="121053952"/>
        <c:scaling>
          <c:orientation val="minMax"/>
        </c:scaling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Month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m/yyyy" sourceLinked="1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5872"/>
        <c:crosses val="autoZero"/>
        <c:auto val="1"/>
        <c:lblOffset val="100"/>
        <c:baseTimeUnit val="months"/>
      </c:dateAx>
      <c:valAx>
        <c:axId val="121055872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Spending Per-Member Per-Month</a:t>
                </a:r>
              </a:p>
            </c:rich>
          </c:tx>
          <c:layout/>
          <c:spPr>
            <a:noFill/>
            <a:ln>
              <a:noFill/>
            </a:ln>
            <a:effectLst/>
          </c:spPr>
        </c:title>
        <c:numFmt formatCode="#,##0.00" sourceLinked="1"/>
        <c:majorTickMark val="none"/>
        <c:tickLblPos val="nextTo"/>
        <c:spPr>
          <a:noFill/>
          <a:ln>
            <a:solidFill>
              <a:srgbClr val="003366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5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299884332008494"/>
          <c:y val="4.6388712248979301E-2"/>
          <c:w val="0.11700115667991512"/>
          <c:h val="0.33796344936271405"/>
        </c:manualLayout>
      </c:layout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106947</xdr:rowOff>
    </xdr:from>
    <xdr:to>
      <xdr:col>6</xdr:col>
      <xdr:colOff>6685</xdr:colOff>
      <xdr:row>21</xdr:row>
      <xdr:rowOff>106947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80210</xdr:colOff>
      <xdr:row>21</xdr:row>
      <xdr:rowOff>187159</xdr:rowOff>
    </xdr:from>
    <xdr:to>
      <xdr:col>8</xdr:col>
      <xdr:colOff>93579</xdr:colOff>
      <xdr:row>38</xdr:row>
      <xdr:rowOff>147053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B873F01E-A7B9-4336-9FF8-F0AB70E45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showGridLines="0" tabSelected="1" zoomScale="95" zoomScaleNormal="95" workbookViewId="0">
      <selection activeCell="D63" sqref="D63"/>
    </sheetView>
  </sheetViews>
  <sheetFormatPr defaultRowHeight="15.75"/>
  <cols>
    <col min="1" max="1" width="12.625" bestFit="1" customWidth="1"/>
    <col min="2" max="2" width="1.625" customWidth="1"/>
    <col min="3" max="6" width="15.5" customWidth="1"/>
  </cols>
  <sheetData>
    <row r="1" spans="1:6">
      <c r="A1" s="27" t="s">
        <v>3</v>
      </c>
      <c r="B1" s="21"/>
      <c r="C1" s="21"/>
      <c r="D1" s="21"/>
      <c r="E1" s="21"/>
      <c r="F1" s="21"/>
    </row>
    <row r="2" spans="1:6">
      <c r="A2" s="28" t="s">
        <v>4</v>
      </c>
      <c r="B2" s="23"/>
      <c r="C2" s="23"/>
      <c r="D2" s="23"/>
      <c r="E2" s="23"/>
      <c r="F2" s="23"/>
    </row>
    <row r="3" spans="1:6" ht="18.75">
      <c r="A3" s="34" t="s">
        <v>13</v>
      </c>
      <c r="B3" s="23"/>
      <c r="C3" s="23"/>
      <c r="D3" s="23"/>
      <c r="E3" s="23"/>
      <c r="F3" s="23"/>
    </row>
    <row r="4" spans="1:6">
      <c r="A4" s="29" t="s">
        <v>12</v>
      </c>
      <c r="B4" s="25"/>
      <c r="C4" s="25"/>
      <c r="D4" s="25"/>
      <c r="E4" s="25"/>
      <c r="F4" s="25"/>
    </row>
    <row r="42" spans="1:8">
      <c r="A42" s="9"/>
      <c r="C42" s="12" t="s">
        <v>5</v>
      </c>
      <c r="D42" s="12"/>
      <c r="E42" s="12"/>
      <c r="F42" s="12"/>
    </row>
    <row r="43" spans="1:8">
      <c r="A43" s="10"/>
      <c r="C43" s="8"/>
      <c r="D43" s="5" t="s">
        <v>14</v>
      </c>
      <c r="E43" s="5"/>
      <c r="F43" s="5"/>
    </row>
    <row r="44" spans="1:8" s="2" customFormat="1">
      <c r="A44" s="11" t="s">
        <v>9</v>
      </c>
      <c r="B44"/>
      <c r="C44" s="7" t="s">
        <v>10</v>
      </c>
      <c r="D44" s="6" t="s">
        <v>6</v>
      </c>
      <c r="E44" s="6" t="s">
        <v>7</v>
      </c>
      <c r="F44" s="6" t="s">
        <v>8</v>
      </c>
    </row>
    <row r="45" spans="1:8">
      <c r="A45" s="13">
        <v>43101</v>
      </c>
      <c r="C45" s="17">
        <f>'Exhibit 2 - Detail'!C9+'Exhibit 2 - Detail'!H9+'Exhibit 2 - Detail'!M9+'Exhibit 2 - Detail'!R9</f>
        <v>99097</v>
      </c>
      <c r="D45" s="18">
        <f>'Exhibit 2 - Detail'!D9+'Exhibit 2 - Detail'!I9+'Exhibit 2 - Detail'!N9+'Exhibit 2 - Detail'!S9</f>
        <v>78.920954256201995</v>
      </c>
      <c r="E45" s="18">
        <f>'Exhibit 2 - Detail'!E9+'Exhibit 2 - Detail'!J9+'Exhibit 2 - Detail'!O9+'Exhibit 2 - Detail'!T9</f>
        <v>7.0594397185006406</v>
      </c>
      <c r="F45" s="19">
        <f>'Exhibit 2 - Detail'!F9+'Exhibit 2 - Detail'!K9+'Exhibit 2 - Detail'!P9+'Exhibit 2 - Detail'!U9</f>
        <v>1.2848443060682069</v>
      </c>
      <c r="H45" s="3"/>
    </row>
    <row r="46" spans="1:8">
      <c r="A46" s="13">
        <v>43132</v>
      </c>
      <c r="C46" s="17">
        <f>'Exhibit 2 - Detail'!C10+'Exhibit 2 - Detail'!H10+'Exhibit 2 - Detail'!M10+'Exhibit 2 - Detail'!R10</f>
        <v>98109</v>
      </c>
      <c r="D46" s="18">
        <f>'Exhibit 2 - Detail'!D10+'Exhibit 2 - Detail'!I10+'Exhibit 2 - Detail'!N10+'Exhibit 2 - Detail'!S10</f>
        <v>74.970877969740073</v>
      </c>
      <c r="E46" s="18">
        <f>'Exhibit 2 - Detail'!E10+'Exhibit 2 - Detail'!J10+'Exhibit 2 - Detail'!O10+'Exhibit 2 - Detail'!T10</f>
        <v>6.4244372066013389</v>
      </c>
      <c r="F46" s="19">
        <f>'Exhibit 2 - Detail'!F10+'Exhibit 2 - Detail'!K10+'Exhibit 2 - Detail'!P10+'Exhibit 2 - Detail'!U10</f>
        <v>1.2433935010077224</v>
      </c>
    </row>
    <row r="47" spans="1:8">
      <c r="A47" s="13">
        <v>43160</v>
      </c>
      <c r="C47" s="17">
        <f>'Exhibit 2 - Detail'!C11+'Exhibit 2 - Detail'!H11+'Exhibit 2 - Detail'!M11+'Exhibit 2 - Detail'!R11</f>
        <v>97724</v>
      </c>
      <c r="D47" s="18">
        <f>'Exhibit 2 - Detail'!D11+'Exhibit 2 - Detail'!I11+'Exhibit 2 - Detail'!N11+'Exhibit 2 - Detail'!S11</f>
        <v>81.154598510147792</v>
      </c>
      <c r="E47" s="18">
        <f>'Exhibit 2 - Detail'!E11+'Exhibit 2 - Detail'!J11+'Exhibit 2 - Detail'!O11+'Exhibit 2 - Detail'!T11</f>
        <v>7.2791571182421606</v>
      </c>
      <c r="F47" s="19">
        <f>'Exhibit 2 - Detail'!F11+'Exhibit 2 - Detail'!K11+'Exhibit 2 - Detail'!P11+'Exhibit 2 - Detail'!U11</f>
        <v>1.6647364653209986</v>
      </c>
    </row>
    <row r="48" spans="1:8">
      <c r="A48" s="13">
        <v>43191</v>
      </c>
      <c r="C48" s="17">
        <f>'Exhibit 2 - Detail'!C12+'Exhibit 2 - Detail'!H12+'Exhibit 2 - Detail'!M12+'Exhibit 2 - Detail'!R12</f>
        <v>99265</v>
      </c>
      <c r="D48" s="18">
        <f>'Exhibit 2 - Detail'!D12+'Exhibit 2 - Detail'!I12+'Exhibit 2 - Detail'!N12+'Exhibit 2 - Detail'!S12</f>
        <v>79.265838257880276</v>
      </c>
      <c r="E48" s="18">
        <f>'Exhibit 2 - Detail'!E12+'Exhibit 2 - Detail'!J12+'Exhibit 2 - Detail'!O12+'Exhibit 2 - Detail'!T12</f>
        <v>9.1558916400616823</v>
      </c>
      <c r="F48" s="19">
        <f>'Exhibit 2 - Detail'!F12+'Exhibit 2 - Detail'!K12+'Exhibit 2 - Detail'!P12+'Exhibit 2 - Detail'!U12</f>
        <v>1.6304672671184393</v>
      </c>
    </row>
    <row r="49" spans="1:6">
      <c r="A49" s="13">
        <v>43221</v>
      </c>
      <c r="C49" s="17">
        <f>'Exhibit 2 - Detail'!C13+'Exhibit 2 - Detail'!H13+'Exhibit 2 - Detail'!M13+'Exhibit 2 - Detail'!R13</f>
        <v>100104</v>
      </c>
      <c r="D49" s="18">
        <f>'Exhibit 2 - Detail'!D13+'Exhibit 2 - Detail'!I13+'Exhibit 2 - Detail'!N13+'Exhibit 2 - Detail'!S13</f>
        <v>81.535390385188023</v>
      </c>
      <c r="E49" s="18">
        <f>'Exhibit 2 - Detail'!E13+'Exhibit 2 - Detail'!J13+'Exhibit 2 - Detail'!O13+'Exhibit 2 - Detail'!T13</f>
        <v>7.9899936395842097</v>
      </c>
      <c r="F49" s="19">
        <f>'Exhibit 2 - Detail'!F13+'Exhibit 2 - Detail'!K13+'Exhibit 2 - Detail'!P13+'Exhibit 2 - Detail'!U13</f>
        <v>1.5385149440858279</v>
      </c>
    </row>
    <row r="50" spans="1:6">
      <c r="A50" s="13">
        <v>43252</v>
      </c>
      <c r="C50" s="17">
        <f>'Exhibit 2 - Detail'!C14+'Exhibit 2 - Detail'!H14+'Exhibit 2 - Detail'!M14+'Exhibit 2 - Detail'!R14</f>
        <v>99865</v>
      </c>
      <c r="D50" s="18">
        <f>'Exhibit 2 - Detail'!D14+'Exhibit 2 - Detail'!I14+'Exhibit 2 - Detail'!N14+'Exhibit 2 - Detail'!S14</f>
        <v>79.92541956886356</v>
      </c>
      <c r="E50" s="18">
        <f>'Exhibit 2 - Detail'!E14+'Exhibit 2 - Detail'!J14+'Exhibit 2 - Detail'!O14+'Exhibit 2 - Detail'!T14</f>
        <v>8.3642579861387034</v>
      </c>
      <c r="F50" s="19">
        <f>'Exhibit 2 - Detail'!F14+'Exhibit 2 - Detail'!K14+'Exhibit 2 - Detail'!P14+'Exhibit 2 - Detail'!U14</f>
        <v>1.5775418707094964</v>
      </c>
    </row>
    <row r="51" spans="1:6">
      <c r="A51" s="13">
        <v>43282</v>
      </c>
      <c r="C51" s="17">
        <f>'Exhibit 2 - Detail'!C15+'Exhibit 2 - Detail'!H15+'Exhibit 2 - Detail'!M15+'Exhibit 2 - Detail'!R15</f>
        <v>97986</v>
      </c>
      <c r="D51" s="18">
        <f>'Exhibit 2 - Detail'!D15+'Exhibit 2 - Detail'!I15+'Exhibit 2 - Detail'!N15+'Exhibit 2 - Detail'!S15</f>
        <v>77.078388156097489</v>
      </c>
      <c r="E51" s="18">
        <f>'Exhibit 2 - Detail'!E15+'Exhibit 2 - Detail'!J15+'Exhibit 2 - Detail'!O15+'Exhibit 2 - Detail'!T15</f>
        <v>8.1886591355163159</v>
      </c>
      <c r="F51" s="19">
        <f>'Exhibit 2 - Detail'!F15+'Exhibit 2 - Detail'!K15+'Exhibit 2 - Detail'!P15+'Exhibit 2 - Detail'!U15</f>
        <v>1.7955652898923105</v>
      </c>
    </row>
    <row r="52" spans="1:6">
      <c r="A52" s="13">
        <v>43313</v>
      </c>
      <c r="C52" s="17">
        <f>'Exhibit 2 - Detail'!C16+'Exhibit 2 - Detail'!H16+'Exhibit 2 - Detail'!M16+'Exhibit 2 - Detail'!R16</f>
        <v>96232</v>
      </c>
      <c r="D52" s="18">
        <f>'Exhibit 2 - Detail'!D16+'Exhibit 2 - Detail'!I16+'Exhibit 2 - Detail'!N16+'Exhibit 2 - Detail'!S16</f>
        <v>82.297984240842212</v>
      </c>
      <c r="E52" s="18">
        <f>'Exhibit 2 - Detail'!E16+'Exhibit 2 - Detail'!J16+'Exhibit 2 - Detail'!O16+'Exhibit 2 - Detail'!T16</f>
        <v>9.270473081103475</v>
      </c>
      <c r="F52" s="19">
        <f>'Exhibit 2 - Detail'!F16+'Exhibit 2 - Detail'!K16+'Exhibit 2 - Detail'!P16+'Exhibit 2 - Detail'!U16</f>
        <v>1.5189658068773686</v>
      </c>
    </row>
    <row r="53" spans="1:6">
      <c r="A53" s="13">
        <v>43344</v>
      </c>
      <c r="C53" s="17">
        <f>'Exhibit 2 - Detail'!C17+'Exhibit 2 - Detail'!H17+'Exhibit 2 - Detail'!M17+'Exhibit 2 - Detail'!R17</f>
        <v>96398</v>
      </c>
      <c r="D53" s="18">
        <f>'Exhibit 2 - Detail'!D17+'Exhibit 2 - Detail'!I17+'Exhibit 2 - Detail'!N17+'Exhibit 2 - Detail'!S17</f>
        <v>69.365906636101116</v>
      </c>
      <c r="E53" s="18">
        <f>'Exhibit 2 - Detail'!E17+'Exhibit 2 - Detail'!J17+'Exhibit 2 - Detail'!O17+'Exhibit 2 - Detail'!T17</f>
        <v>7.7920895182997034</v>
      </c>
      <c r="F53" s="19">
        <f>'Exhibit 2 - Detail'!F17+'Exhibit 2 - Detail'!K17+'Exhibit 2 - Detail'!P17+'Exhibit 2 - Detail'!U17</f>
        <v>1.2209905385327924</v>
      </c>
    </row>
    <row r="54" spans="1:6">
      <c r="A54" s="13">
        <v>43374</v>
      </c>
      <c r="C54" s="17">
        <f>'Exhibit 2 - Detail'!C18+'Exhibit 2 - Detail'!H18+'Exhibit 2 - Detail'!M18+'Exhibit 2 - Detail'!R18</f>
        <v>95933</v>
      </c>
      <c r="D54" s="18">
        <f>'Exhibit 2 - Detail'!D18+'Exhibit 2 - Detail'!I18+'Exhibit 2 - Detail'!N18+'Exhibit 2 - Detail'!S18</f>
        <v>81.252410948035262</v>
      </c>
      <c r="E54" s="18">
        <f>'Exhibit 2 - Detail'!E18+'Exhibit 2 - Detail'!J18+'Exhibit 2 - Detail'!O18+'Exhibit 2 - Detail'!T18</f>
        <v>8.7535746901656051</v>
      </c>
      <c r="F54" s="19">
        <f>'Exhibit 2 - Detail'!F18+'Exhibit 2 - Detail'!K18+'Exhibit 2 - Detail'!P18+'Exhibit 2 - Detail'!U18</f>
        <v>1.8885901297499255</v>
      </c>
    </row>
    <row r="55" spans="1:6">
      <c r="A55" s="13">
        <v>43405</v>
      </c>
      <c r="C55" s="17">
        <f>'Exhibit 2 - Detail'!C19+'Exhibit 2 - Detail'!H19+'Exhibit 2 - Detail'!M19+'Exhibit 2 - Detail'!R19</f>
        <v>95658</v>
      </c>
      <c r="D55" s="18">
        <f>'Exhibit 2 - Detail'!D19+'Exhibit 2 - Detail'!I19+'Exhibit 2 - Detail'!N19+'Exhibit 2 - Detail'!S19</f>
        <v>66.3276233542325</v>
      </c>
      <c r="E55" s="18">
        <f>'Exhibit 2 - Detail'!E19+'Exhibit 2 - Detail'!J19+'Exhibit 2 - Detail'!O19+'Exhibit 2 - Detail'!T19</f>
        <v>7.6385523200004384</v>
      </c>
      <c r="F55" s="19">
        <f>'Exhibit 2 - Detail'!F19+'Exhibit 2 - Detail'!K19+'Exhibit 2 - Detail'!P19+'Exhibit 2 - Detail'!U19</f>
        <v>1.5379649269160169</v>
      </c>
    </row>
    <row r="56" spans="1:6" ht="16.5" thickBot="1">
      <c r="A56" s="30">
        <v>43435</v>
      </c>
      <c r="C56" s="31">
        <f>'Exhibit 2 - Detail'!C20+'Exhibit 2 - Detail'!H20+'Exhibit 2 - Detail'!M20+'Exhibit 2 - Detail'!R20</f>
        <v>95077</v>
      </c>
      <c r="D56" s="32">
        <f>'Exhibit 2 - Detail'!D20+'Exhibit 2 - Detail'!I20+'Exhibit 2 - Detail'!N20+'Exhibit 2 - Detail'!S20</f>
        <v>42.36299208842614</v>
      </c>
      <c r="E56" s="32">
        <f>'Exhibit 2 - Detail'!E20+'Exhibit 2 - Detail'!J20+'Exhibit 2 - Detail'!O20+'Exhibit 2 - Detail'!T20</f>
        <v>3.7321228937321638</v>
      </c>
      <c r="F56" s="33">
        <f>'Exhibit 2 - Detail'!F20+'Exhibit 2 - Detail'!K20+'Exhibit 2 - Detail'!P20+'Exhibit 2 - Detail'!U20</f>
        <v>0.67288598888145712</v>
      </c>
    </row>
    <row r="57" spans="1:6" ht="16.5" thickTop="1">
      <c r="A57" s="14" t="s">
        <v>15</v>
      </c>
      <c r="C57" s="20">
        <f>AVERAGE(C45:C56)</f>
        <v>97620.666666666672</v>
      </c>
      <c r="D57" s="15">
        <f>SUMPRODUCT(D45:D56,$C$45:$C$56)/SUM($C$45:$C$56)</f>
        <v>74.647216604425438</v>
      </c>
      <c r="E57" s="15">
        <f t="shared" ref="E57:F57" si="0">SUMPRODUCT(E45:E56,$C$45:$C$56)/SUM($C$45:$C$56)</f>
        <v>7.6453377534191409</v>
      </c>
      <c r="F57" s="16">
        <f t="shared" si="0"/>
        <v>1.466121619307839</v>
      </c>
    </row>
    <row r="58" spans="1:6">
      <c r="C58" s="3"/>
      <c r="D58" s="43"/>
    </row>
    <row r="61" spans="1:6">
      <c r="D61" s="3"/>
      <c r="E61" s="3"/>
      <c r="F61" s="3"/>
    </row>
    <row r="62" spans="1:6">
      <c r="D62" s="3"/>
      <c r="E62" s="3"/>
      <c r="F62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X25"/>
  <sheetViews>
    <sheetView showGridLines="0" zoomScale="95" zoomScaleNormal="95" workbookViewId="0">
      <selection activeCell="A41" sqref="A41"/>
    </sheetView>
  </sheetViews>
  <sheetFormatPr defaultRowHeight="15.75"/>
  <cols>
    <col min="1" max="1" width="12.625" bestFit="1" customWidth="1"/>
    <col min="2" max="2" width="1.625" customWidth="1"/>
    <col min="3" max="6" width="13.5" customWidth="1"/>
    <col min="7" max="7" width="1.25" customWidth="1"/>
    <col min="8" max="11" width="13.5" customWidth="1"/>
    <col min="12" max="12" width="1.25" customWidth="1"/>
    <col min="13" max="16" width="13.5" customWidth="1"/>
    <col min="17" max="17" width="1.25" customWidth="1"/>
    <col min="18" max="21" width="13.5" customWidth="1"/>
  </cols>
  <sheetData>
    <row r="1" spans="1:24">
      <c r="A1" s="27" t="s">
        <v>3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2"/>
    </row>
    <row r="2" spans="1:24">
      <c r="A2" s="28" t="s">
        <v>4</v>
      </c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4"/>
    </row>
    <row r="3" spans="1:24">
      <c r="A3" s="28" t="s">
        <v>16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4"/>
    </row>
    <row r="4" spans="1:24">
      <c r="A4" s="29" t="s">
        <v>12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6"/>
    </row>
    <row r="6" spans="1:24">
      <c r="A6" s="9"/>
      <c r="C6" s="12" t="s">
        <v>0</v>
      </c>
      <c r="D6" s="12"/>
      <c r="E6" s="12"/>
      <c r="F6" s="12"/>
      <c r="H6" s="42" t="s">
        <v>11</v>
      </c>
      <c r="I6" s="42"/>
      <c r="J6" s="42"/>
      <c r="K6" s="42"/>
      <c r="M6" s="12" t="s">
        <v>1</v>
      </c>
      <c r="N6" s="12"/>
      <c r="O6" s="12"/>
      <c r="P6" s="12"/>
      <c r="R6" s="12" t="s">
        <v>2</v>
      </c>
      <c r="S6" s="12"/>
      <c r="T6" s="12"/>
      <c r="U6" s="12"/>
    </row>
    <row r="7" spans="1:24">
      <c r="A7" s="10"/>
      <c r="C7" s="8"/>
      <c r="D7" s="5" t="s">
        <v>14</v>
      </c>
      <c r="E7" s="5"/>
      <c r="F7" s="5"/>
      <c r="H7" s="8"/>
      <c r="I7" s="5" t="s">
        <v>14</v>
      </c>
      <c r="J7" s="5"/>
      <c r="K7" s="5"/>
      <c r="M7" s="8"/>
      <c r="N7" s="5" t="s">
        <v>14</v>
      </c>
      <c r="O7" s="5"/>
      <c r="P7" s="5"/>
      <c r="R7" s="8"/>
      <c r="S7" s="5" t="s">
        <v>14</v>
      </c>
      <c r="T7" s="5"/>
      <c r="U7" s="5"/>
      <c r="V7" s="4"/>
      <c r="W7" s="4"/>
      <c r="X7" s="4"/>
    </row>
    <row r="8" spans="1:24" s="2" customFormat="1">
      <c r="A8" s="11" t="s">
        <v>9</v>
      </c>
      <c r="B8"/>
      <c r="C8" s="7" t="s">
        <v>10</v>
      </c>
      <c r="D8" s="6" t="s">
        <v>6</v>
      </c>
      <c r="E8" s="6" t="s">
        <v>7</v>
      </c>
      <c r="F8" s="6" t="s">
        <v>8</v>
      </c>
      <c r="G8"/>
      <c r="H8" s="7" t="s">
        <v>10</v>
      </c>
      <c r="I8" s="6" t="s">
        <v>6</v>
      </c>
      <c r="J8" s="6" t="s">
        <v>7</v>
      </c>
      <c r="K8" s="6" t="s">
        <v>8</v>
      </c>
      <c r="L8"/>
      <c r="M8" s="7" t="s">
        <v>10</v>
      </c>
      <c r="N8" s="6" t="s">
        <v>6</v>
      </c>
      <c r="O8" s="6" t="s">
        <v>7</v>
      </c>
      <c r="P8" s="6" t="s">
        <v>8</v>
      </c>
      <c r="Q8"/>
      <c r="R8" s="7" t="s">
        <v>10</v>
      </c>
      <c r="S8" s="6" t="s">
        <v>6</v>
      </c>
      <c r="T8" s="6" t="s">
        <v>7</v>
      </c>
      <c r="U8" s="6" t="s">
        <v>8</v>
      </c>
    </row>
    <row r="9" spans="1:24">
      <c r="A9" s="13">
        <v>43101</v>
      </c>
      <c r="C9" s="17">
        <v>47226</v>
      </c>
      <c r="D9" s="18">
        <v>23.334049252530598</v>
      </c>
      <c r="E9" s="18">
        <v>1.8832556219032124</v>
      </c>
      <c r="F9" s="19">
        <v>0.41494282810316352</v>
      </c>
      <c r="H9" s="17">
        <v>26146</v>
      </c>
      <c r="I9" s="18">
        <v>35.379967107778818</v>
      </c>
      <c r="J9" s="18">
        <v>2.1060678497667098</v>
      </c>
      <c r="K9" s="19">
        <v>0.82328616231928398</v>
      </c>
      <c r="M9" s="17">
        <v>24537</v>
      </c>
      <c r="N9" s="18">
        <v>16.191281330236013</v>
      </c>
      <c r="O9" s="18">
        <v>2.6116061458206175</v>
      </c>
      <c r="P9" s="19">
        <v>4.6615315645759464E-2</v>
      </c>
      <c r="R9" s="17">
        <v>1188</v>
      </c>
      <c r="S9" s="18">
        <v>4.015656565656565</v>
      </c>
      <c r="T9" s="18">
        <v>0.45851010101010103</v>
      </c>
      <c r="U9" s="19">
        <v>0</v>
      </c>
    </row>
    <row r="10" spans="1:24">
      <c r="A10" s="13">
        <v>43132</v>
      </c>
      <c r="C10" s="17">
        <v>47059</v>
      </c>
      <c r="D10" s="18">
        <v>22.903980110075011</v>
      </c>
      <c r="E10" s="18">
        <v>1.9142440340848959</v>
      </c>
      <c r="F10" s="19">
        <v>0.4962691514906819</v>
      </c>
      <c r="H10" s="17">
        <v>26155</v>
      </c>
      <c r="I10" s="18">
        <v>31.987889887210976</v>
      </c>
      <c r="J10" s="18">
        <v>2.1813175301089807</v>
      </c>
      <c r="K10" s="19">
        <v>0.69468782259606188</v>
      </c>
      <c r="M10" s="17">
        <v>23829</v>
      </c>
      <c r="N10" s="18">
        <v>14.462347559696125</v>
      </c>
      <c r="O10" s="18">
        <v>1.9972902765538036</v>
      </c>
      <c r="P10" s="19">
        <v>5.2436526920978638E-2</v>
      </c>
      <c r="R10" s="17">
        <v>1066</v>
      </c>
      <c r="S10" s="18">
        <v>5.6166604127579642</v>
      </c>
      <c r="T10" s="18">
        <v>0.33158536585365855</v>
      </c>
      <c r="U10" s="19">
        <v>0</v>
      </c>
    </row>
    <row r="11" spans="1:24">
      <c r="A11" s="13">
        <v>43160</v>
      </c>
      <c r="C11" s="17">
        <v>46988</v>
      </c>
      <c r="D11" s="18">
        <v>23.487372095003618</v>
      </c>
      <c r="E11" s="18">
        <v>2.3189550523538225</v>
      </c>
      <c r="F11" s="19">
        <v>0.52251830254533072</v>
      </c>
      <c r="H11" s="17">
        <v>26110</v>
      </c>
      <c r="I11" s="18">
        <v>32.965394101876711</v>
      </c>
      <c r="J11" s="18">
        <v>2.3678510149368059</v>
      </c>
      <c r="K11" s="19">
        <v>1.1105767905017234</v>
      </c>
      <c r="M11" s="17">
        <v>23523</v>
      </c>
      <c r="N11" s="18">
        <v>16.478550354971897</v>
      </c>
      <c r="O11" s="18">
        <v>2.4454516855843513</v>
      </c>
      <c r="P11" s="19">
        <v>3.1641372273944646E-2</v>
      </c>
      <c r="R11" s="17">
        <v>1103</v>
      </c>
      <c r="S11" s="18">
        <v>8.2232819582955567</v>
      </c>
      <c r="T11" s="18">
        <v>0.14689936536718043</v>
      </c>
      <c r="U11" s="19">
        <v>0</v>
      </c>
    </row>
    <row r="12" spans="1:24" s="35" customFormat="1">
      <c r="A12" s="13">
        <v>43191</v>
      </c>
      <c r="C12" s="17">
        <v>47803</v>
      </c>
      <c r="D12" s="18">
        <v>22.21263498106897</v>
      </c>
      <c r="E12" s="18">
        <v>2.5282641256825178</v>
      </c>
      <c r="F12" s="19">
        <v>0.42180281572286255</v>
      </c>
      <c r="G12"/>
      <c r="H12" s="17">
        <v>26233</v>
      </c>
      <c r="I12" s="18">
        <v>35.42412762550947</v>
      </c>
      <c r="J12" s="18">
        <v>2.8533892425570766</v>
      </c>
      <c r="K12" s="19">
        <v>1.1667262608165287</v>
      </c>
      <c r="L12"/>
      <c r="M12" s="17">
        <v>24074</v>
      </c>
      <c r="N12" s="18">
        <v>15.140331062557243</v>
      </c>
      <c r="O12" s="18">
        <v>3.1453551549389713</v>
      </c>
      <c r="P12" s="19">
        <v>4.1938190579047935E-2</v>
      </c>
      <c r="Q12"/>
      <c r="R12" s="17">
        <v>1155</v>
      </c>
      <c r="S12" s="18">
        <v>6.4887445887445887</v>
      </c>
      <c r="T12" s="18">
        <v>0.62888311688311693</v>
      </c>
      <c r="U12" s="19">
        <v>0</v>
      </c>
    </row>
    <row r="13" spans="1:24">
      <c r="A13" s="13">
        <v>43221</v>
      </c>
      <c r="C13" s="17">
        <v>47815</v>
      </c>
      <c r="D13" s="18">
        <v>22.103515214891562</v>
      </c>
      <c r="E13" s="18">
        <v>2.3514300951584439</v>
      </c>
      <c r="F13" s="19">
        <v>0.50567938931297707</v>
      </c>
      <c r="H13" s="17">
        <v>26397</v>
      </c>
      <c r="I13" s="18">
        <v>36.96093381823605</v>
      </c>
      <c r="J13" s="18">
        <v>2.2452096829185173</v>
      </c>
      <c r="K13" s="19">
        <v>0.99184073947797091</v>
      </c>
      <c r="M13" s="17">
        <v>24688</v>
      </c>
      <c r="N13" s="18">
        <v>16.348424740764742</v>
      </c>
      <c r="O13" s="18">
        <v>2.3899983797796747</v>
      </c>
      <c r="P13" s="19">
        <v>4.0994815294880103E-2</v>
      </c>
      <c r="R13" s="17">
        <v>1204</v>
      </c>
      <c r="S13" s="18">
        <v>6.1225166112956719</v>
      </c>
      <c r="T13" s="18">
        <v>1.0033554817275747</v>
      </c>
      <c r="U13" s="19">
        <v>0</v>
      </c>
    </row>
    <row r="14" spans="1:24">
      <c r="A14" s="13">
        <v>43252</v>
      </c>
      <c r="C14" s="17">
        <v>47639</v>
      </c>
      <c r="D14" s="18">
        <v>22.727817544449508</v>
      </c>
      <c r="E14" s="18">
        <v>2.7614087197464703</v>
      </c>
      <c r="F14" s="19">
        <v>0.38954155208967439</v>
      </c>
      <c r="H14" s="17">
        <v>26387</v>
      </c>
      <c r="I14" s="18">
        <v>36.075199530071018</v>
      </c>
      <c r="J14" s="18">
        <v>2.3184283927691629</v>
      </c>
      <c r="K14" s="19">
        <v>1.1343502482282941</v>
      </c>
      <c r="M14" s="17">
        <v>24634</v>
      </c>
      <c r="N14" s="18">
        <v>15.285074693513153</v>
      </c>
      <c r="O14" s="18">
        <v>2.8925785499716166</v>
      </c>
      <c r="P14" s="19">
        <v>3.8114800681984251E-2</v>
      </c>
      <c r="R14" s="17">
        <v>1205</v>
      </c>
      <c r="S14" s="18">
        <v>5.8373278008298755</v>
      </c>
      <c r="T14" s="18">
        <v>0.39184232365145227</v>
      </c>
      <c r="U14" s="19">
        <v>1.5535269709543567E-2</v>
      </c>
    </row>
    <row r="15" spans="1:24">
      <c r="A15" s="13">
        <v>43282</v>
      </c>
      <c r="C15" s="17">
        <v>46893</v>
      </c>
      <c r="D15" s="18">
        <v>21.626397969847311</v>
      </c>
      <c r="E15" s="18">
        <v>2.3320659799970507</v>
      </c>
      <c r="F15" s="19">
        <v>0.58073017294692175</v>
      </c>
      <c r="H15" s="17">
        <v>26301</v>
      </c>
      <c r="I15" s="18">
        <v>32.332509410288239</v>
      </c>
      <c r="J15" s="18">
        <v>2.7741872932588159</v>
      </c>
      <c r="K15" s="19">
        <v>1.1680803011292347</v>
      </c>
      <c r="M15" s="17">
        <v>23672</v>
      </c>
      <c r="N15" s="18">
        <v>16.29363256167624</v>
      </c>
      <c r="O15" s="18">
        <v>2.6920665765461647</v>
      </c>
      <c r="P15" s="19">
        <v>4.6754815816154108E-2</v>
      </c>
      <c r="R15" s="17">
        <v>1120</v>
      </c>
      <c r="S15" s="18">
        <v>6.8258482142857053</v>
      </c>
      <c r="T15" s="18">
        <v>0.39033928571428567</v>
      </c>
      <c r="U15" s="19">
        <v>0</v>
      </c>
    </row>
    <row r="16" spans="1:24">
      <c r="A16" s="13">
        <v>43313</v>
      </c>
      <c r="C16" s="17">
        <v>46065</v>
      </c>
      <c r="D16" s="18">
        <v>24.586117008575926</v>
      </c>
      <c r="E16" s="18">
        <v>2.6175653967220622</v>
      </c>
      <c r="F16" s="19">
        <v>0.40322891566265062</v>
      </c>
      <c r="H16" s="17">
        <v>26145</v>
      </c>
      <c r="I16" s="18">
        <v>31.923099254159304</v>
      </c>
      <c r="J16" s="18">
        <v>2.5467691719257952</v>
      </c>
      <c r="K16" s="19">
        <v>1.0603362019506599</v>
      </c>
      <c r="M16" s="17">
        <v>22923</v>
      </c>
      <c r="N16" s="18">
        <v>17.681834402128821</v>
      </c>
      <c r="O16" s="18">
        <v>3.0230174933473366</v>
      </c>
      <c r="P16" s="19">
        <v>5.5400689264057938E-2</v>
      </c>
      <c r="R16" s="17">
        <v>1099</v>
      </c>
      <c r="S16" s="18">
        <v>8.1069335759781627</v>
      </c>
      <c r="T16" s="18">
        <v>1.0831210191082801</v>
      </c>
      <c r="U16" s="19">
        <v>0</v>
      </c>
    </row>
    <row r="17" spans="1:21">
      <c r="A17" s="13">
        <v>43344</v>
      </c>
      <c r="C17" s="17">
        <v>45842</v>
      </c>
      <c r="D17" s="18">
        <v>18.403977138869354</v>
      </c>
      <c r="E17" s="18">
        <v>1.9779328999607608</v>
      </c>
      <c r="F17" s="19">
        <v>0.37978796736617082</v>
      </c>
      <c r="H17" s="17">
        <v>26184</v>
      </c>
      <c r="I17" s="18">
        <v>31.371785059578098</v>
      </c>
      <c r="J17" s="18">
        <v>2.3359574549343187</v>
      </c>
      <c r="K17" s="19">
        <v>0.79437137183012529</v>
      </c>
      <c r="M17" s="17">
        <v>23123</v>
      </c>
      <c r="N17" s="18">
        <v>14.654700082169269</v>
      </c>
      <c r="O17" s="18">
        <v>2.5155170176880506</v>
      </c>
      <c r="P17" s="19">
        <v>2.3932880681572458E-2</v>
      </c>
      <c r="R17" s="17">
        <v>1249</v>
      </c>
      <c r="S17" s="18">
        <v>4.9354443554843872</v>
      </c>
      <c r="T17" s="18">
        <v>0.96268214571657329</v>
      </c>
      <c r="U17" s="19">
        <v>2.2898318654923939E-2</v>
      </c>
    </row>
    <row r="18" spans="1:21">
      <c r="A18" s="13">
        <v>43374</v>
      </c>
      <c r="C18" s="17">
        <v>45291</v>
      </c>
      <c r="D18" s="18">
        <v>22.538951005719678</v>
      </c>
      <c r="E18" s="18">
        <v>2.4203473096200505</v>
      </c>
      <c r="F18" s="19">
        <v>0.61786712591905679</v>
      </c>
      <c r="H18" s="17">
        <v>26147</v>
      </c>
      <c r="I18" s="18">
        <v>37.602722683290089</v>
      </c>
      <c r="J18" s="18">
        <v>2.6477144605499752</v>
      </c>
      <c r="K18" s="19">
        <v>1.2210896087505259</v>
      </c>
      <c r="M18" s="17">
        <v>23213</v>
      </c>
      <c r="N18" s="18">
        <v>15.173919786326586</v>
      </c>
      <c r="O18" s="18">
        <v>2.8704661181235038</v>
      </c>
      <c r="P18" s="19">
        <v>4.9633395080342917E-2</v>
      </c>
      <c r="R18" s="17">
        <v>1282</v>
      </c>
      <c r="S18" s="18">
        <v>5.936817472698908</v>
      </c>
      <c r="T18" s="18">
        <v>0.81504680187207501</v>
      </c>
      <c r="U18" s="19">
        <v>0</v>
      </c>
    </row>
    <row r="19" spans="1:21" s="41" customFormat="1">
      <c r="A19" s="13">
        <v>43405</v>
      </c>
      <c r="C19" s="17">
        <v>44819</v>
      </c>
      <c r="D19" s="18">
        <v>18.993533099802494</v>
      </c>
      <c r="E19" s="18">
        <v>2.0746832816439746</v>
      </c>
      <c r="F19" s="19">
        <v>0.44463151788304067</v>
      </c>
      <c r="G19"/>
      <c r="H19" s="17">
        <v>26033</v>
      </c>
      <c r="I19" s="18">
        <v>27.45920447124838</v>
      </c>
      <c r="J19" s="18">
        <v>2.2636883954980296</v>
      </c>
      <c r="K19" s="19">
        <v>1.0031118196135673</v>
      </c>
      <c r="L19"/>
      <c r="M19" s="17">
        <v>23513</v>
      </c>
      <c r="N19" s="18">
        <v>13.121080678773273</v>
      </c>
      <c r="O19" s="18">
        <v>2.7536222515204609</v>
      </c>
      <c r="P19" s="19">
        <v>7.5743631182749974E-2</v>
      </c>
      <c r="Q19"/>
      <c r="R19" s="17">
        <v>1293</v>
      </c>
      <c r="S19" s="18">
        <v>6.7538051044083529</v>
      </c>
      <c r="T19" s="18">
        <v>0.54655839133797379</v>
      </c>
      <c r="U19" s="19">
        <v>1.4477958236658931E-2</v>
      </c>
    </row>
    <row r="20" spans="1:21" ht="16.5" thickBot="1">
      <c r="A20" s="30">
        <v>43435</v>
      </c>
      <c r="C20" s="31">
        <v>44301</v>
      </c>
      <c r="D20" s="32">
        <v>11.772515744565901</v>
      </c>
      <c r="E20" s="32">
        <v>1.1576230784858197</v>
      </c>
      <c r="F20" s="33">
        <v>0.29186722647344304</v>
      </c>
      <c r="H20" s="31">
        <v>25907</v>
      </c>
      <c r="I20" s="32">
        <v>18.939993052072182</v>
      </c>
      <c r="J20" s="32">
        <v>1.0278179642567762</v>
      </c>
      <c r="K20" s="33">
        <v>0.36210560852279305</v>
      </c>
      <c r="M20" s="31">
        <v>23628</v>
      </c>
      <c r="N20" s="32">
        <v>8.8298869984762138</v>
      </c>
      <c r="O20" s="32">
        <v>1.2997680717792535</v>
      </c>
      <c r="P20" s="33">
        <v>1.8913153885220923E-2</v>
      </c>
      <c r="R20" s="31">
        <v>1241</v>
      </c>
      <c r="S20" s="32">
        <v>2.8205962933118456</v>
      </c>
      <c r="T20" s="32">
        <v>0.24691377921031427</v>
      </c>
      <c r="U20" s="33">
        <v>0</v>
      </c>
    </row>
    <row r="21" spans="1:21" s="1" customFormat="1" ht="16.5" thickTop="1">
      <c r="A21" s="36" t="s">
        <v>15</v>
      </c>
      <c r="C21" s="37">
        <f>AVERAGE(C9:C20)</f>
        <v>46478.416666666664</v>
      </c>
      <c r="D21" s="38">
        <f>SUMPRODUCT(D9:D20,$C$9:$C$20)/SUM($C$9:$C$20)</f>
        <v>21.280228295930247</v>
      </c>
      <c r="E21" s="38">
        <f t="shared" ref="E21:F21" si="0">SUMPRODUCT(E9:E20,$C$9:$C$20)/SUM($C$9:$C$20)</f>
        <v>2.2005272160375808</v>
      </c>
      <c r="F21" s="39">
        <f t="shared" si="0"/>
        <v>0.4562349011458724</v>
      </c>
      <c r="H21" s="37">
        <f>AVERAGE(H9:H20)</f>
        <v>26178.75</v>
      </c>
      <c r="I21" s="38">
        <f>SUMPRODUCT(I9:I20,$H$9:$H$20)/SUM($H$9:$H$20)</f>
        <v>32.387710643174167</v>
      </c>
      <c r="J21" s="38">
        <f t="shared" ref="J21:K21" si="1">SUMPRODUCT(J9:J20,$H$9:$H$20)/SUM($H$9:$H$20)</f>
        <v>2.3070247497174918</v>
      </c>
      <c r="K21" s="39">
        <f t="shared" si="1"/>
        <v>0.96159324515749101</v>
      </c>
      <c r="M21" s="37">
        <f>AVERAGE(M9:M20)</f>
        <v>23779.75</v>
      </c>
      <c r="N21" s="38">
        <f>SUMPRODUCT(N9:N20,$M$9:$M$20)/SUM($M$9:$M$20)</f>
        <v>14.975730015384237</v>
      </c>
      <c r="O21" s="38">
        <f t="shared" ref="O21:P21" si="2">SUMPRODUCT(O9:O20,$M$9:$M$20)/SUM($M$9:$M$20)</f>
        <v>2.5527974081589315</v>
      </c>
      <c r="P21" s="39">
        <f t="shared" si="2"/>
        <v>4.348356619953251E-2</v>
      </c>
      <c r="R21" s="37">
        <f>AVERAGE(R9:R20)</f>
        <v>1183.75</v>
      </c>
      <c r="S21" s="40">
        <f>SUMPRODUCT(S9:S20,$R$9:$R$20)/SUM($R$9:$R$20)</f>
        <v>5.9339035550862356</v>
      </c>
      <c r="T21" s="38">
        <f t="shared" ref="T21:U21" si="3">SUMPRODUCT(T9:T20,$R$9:$R$20)/SUM($R$9:$R$20)</f>
        <v>0.58815276311158038</v>
      </c>
      <c r="U21" s="39">
        <f t="shared" si="3"/>
        <v>4.6490672298486442E-3</v>
      </c>
    </row>
    <row r="24" spans="1:21">
      <c r="D24" s="3"/>
      <c r="E24" s="3"/>
      <c r="F24" s="3"/>
    </row>
    <row r="25" spans="1:21">
      <c r="D25" s="3"/>
      <c r="E25" s="3"/>
      <c r="F25" s="3"/>
      <c r="I25" s="3"/>
      <c r="J25" s="3"/>
      <c r="K25" s="3"/>
      <c r="N25" s="3"/>
      <c r="O25" s="3"/>
      <c r="P25" s="3"/>
      <c r="S25" s="3"/>
      <c r="T25" s="3"/>
      <c r="U25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Exhibit 1 - Summary</vt:lpstr>
      <vt:lpstr>Exhibit 2 - 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Dane Hansen</dc:creator>
  <cp:lastModifiedBy>Elena Moseyko</cp:lastModifiedBy>
  <dcterms:created xsi:type="dcterms:W3CDTF">2019-02-12T13:43:37Z</dcterms:created>
  <dcterms:modified xsi:type="dcterms:W3CDTF">2025-04-03T17:53:24Z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2023-05-25T19:01:03Z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a09587bd-2b51-4ff9-9301-9d3716f5d773</vt:lpwstr>
  </property>
  <property fmtid="{D5CDD505-2E9C-101B-9397-08002B2CF9AE}" pid="9" name="MSIP_Label_ea60d57e-af5b-4752-ac57-3e4f28ca11dc_ContentBits">
    <vt:lpwstr>0</vt:lpwstr>
  </property>
</Properties>
</file>